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quirements" sheetId="2" state="visible" r:id="rId4"/>
  </sheets>
  <definedNames>
    <definedName function="false" hidden="true" localSheetId="1" name="_xlnm._FilterDatabase" vbProcedure="false">Requirements!$A$1:$G$72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<sst xmlns="http://schemas.openxmlformats.org/spreadsheetml/2006/main" count="478" uniqueCount="265">
  <si>
    <t xml:space="preserve">The Last Corridor - Implementation Status vs Final Documentation (FR_01-FR_71)</t>
  </si>
  <si>
    <t xml:space="preserve">Based on a code review of Assets/Scripts on 20 Oct 2026 (not playtested). Done = 1, Partial = 0.5, Missing = 0. Change Status on the Requirements sheet and everything updates.</t>
  </si>
  <si>
    <t xml:space="preserve">Overall implemented</t>
  </si>
  <si>
    <t xml:space="preserve">Points</t>
  </si>
  <si>
    <t xml:space="preserve">Shall-only implemented</t>
  </si>
  <si>
    <t xml:space="preserve">Feature group</t>
  </si>
  <si>
    <t xml:space="preserve">FR range</t>
  </si>
  <si>
    <t xml:space="preserve">Total</t>
  </si>
  <si>
    <t xml:space="preserve">Done</t>
  </si>
  <si>
    <t xml:space="preserve">Partial</t>
  </si>
  <si>
    <t xml:space="preserve">Missing</t>
  </si>
  <si>
    <t xml:space="preserve">Score</t>
  </si>
  <si>
    <t xml:space="preserve">% Implemented</t>
  </si>
  <si>
    <t xml:space="preserve">Player Control</t>
  </si>
  <si>
    <t xml:space="preserve">FR_01 - FR_06</t>
  </si>
  <si>
    <t xml:space="preserve">Environment &amp; Horror</t>
  </si>
  <si>
    <t xml:space="preserve">FR_07 - FR_13</t>
  </si>
  <si>
    <t xml:space="preserve">Enemy AI</t>
  </si>
  <si>
    <t xml:space="preserve">FR_14 - FR_21</t>
  </si>
  <si>
    <t xml:space="preserve">ML Module</t>
  </si>
  <si>
    <t xml:space="preserve">FR_22 - FR_26</t>
  </si>
  <si>
    <t xml:space="preserve">Puzzles</t>
  </si>
  <si>
    <t xml:space="preserve">FR_27 - FR_32</t>
  </si>
  <si>
    <t xml:space="preserve">Inventory</t>
  </si>
  <si>
    <t xml:space="preserve">FR_33 - FR_37</t>
  </si>
  <si>
    <t xml:space="preserve">Save &amp; Load</t>
  </si>
  <si>
    <t xml:space="preserve">FR_38 - FR_42</t>
  </si>
  <si>
    <t xml:space="preserve">Audio &amp; Lighting</t>
  </si>
  <si>
    <t xml:space="preserve">FR_43 - FR_47</t>
  </si>
  <si>
    <t xml:space="preserve">Progression &amp; Endings</t>
  </si>
  <si>
    <t xml:space="preserve">FR_48 - FR_56</t>
  </si>
  <si>
    <t xml:space="preserve">Dynamic Difficulty</t>
  </si>
  <si>
    <t xml:space="preserve">FR_57 - FR_61</t>
  </si>
  <si>
    <t xml:space="preserve">Storytelling</t>
  </si>
  <si>
    <t xml:space="preserve">FR_62 - FR_64</t>
  </si>
  <si>
    <t xml:space="preserve">Hazards</t>
  </si>
  <si>
    <t xml:space="preserve">FR_65 - FR_71</t>
  </si>
  <si>
    <t xml:space="preserve">TOTAL</t>
  </si>
  <si>
    <t xml:space="preserve">Biggest gaps to close next</t>
  </si>
  <si>
    <t xml:space="preserve">1. Achievements system (FR_52, FR_53)</t>
  </si>
  <si>
    <t xml:space="preserve">2. Decision-based second ending + ending summary screen (FR_54-56)</t>
  </si>
  <si>
    <t xml:space="preserve">3. Objectives HUD (FR_49)</t>
  </si>
  <si>
    <t xml:space="preserve">4. Pause menu with manual save (FR_38, FR_42)</t>
  </si>
  <si>
    <t xml:space="preserve">5. Settings sliders: volume / brightness (FR_47)</t>
  </si>
  <si>
    <t xml:space="preserve">6. Inventory UI with item list and note reading (FR_34, 35, 37)</t>
  </si>
  <si>
    <t xml:space="preserve">Group</t>
  </si>
  <si>
    <t xml:space="preserve">ID</t>
  </si>
  <si>
    <t xml:space="preserve">Requirement</t>
  </si>
  <si>
    <t xml:space="preserve">Priority</t>
  </si>
  <si>
    <t xml:space="preserve">Status</t>
  </si>
  <si>
    <t xml:space="preserve">Evidence (script / note)</t>
  </si>
  <si>
    <t xml:space="preserve">FR_01</t>
  </si>
  <si>
    <t xml:space="preserve">Walk/move with keyboard</t>
  </si>
  <si>
    <t xml:space="preserve">Shall</t>
  </si>
  <si>
    <t xml:space="preserve">PlayerController.cs</t>
  </si>
  <si>
    <t xml:space="preserve">FR_02</t>
  </si>
  <si>
    <t xml:space="preserve">Sprint uses stamina</t>
  </si>
  <si>
    <t xml:space="preserve">PlayerController.cs + PlayerStats.UseStamina</t>
  </si>
  <si>
    <t xml:space="preserve">FR_03</t>
  </si>
  <si>
    <t xml:space="preserve">Crouch to be harder to notice</t>
  </si>
  <si>
    <t xml:space="preserve">PlayerController.cs (IsCrouching)</t>
  </si>
  <si>
    <t xml:space="preserve">FR_04</t>
  </si>
  <si>
    <t xml:space="preserve">Health &amp; stamina updated in real time</t>
  </si>
  <si>
    <t xml:space="preserve">PlayerStats.cs</t>
  </si>
  <si>
    <t xml:space="preserve">FR_05</t>
  </si>
  <si>
    <t xml:space="preserve">Interact with doors, switches, objects</t>
  </si>
  <si>
    <t xml:space="preserve">InteractionRaycast.cs, IInteractable, DoorController.cs</t>
  </si>
  <si>
    <t xml:space="preserve">FR_06</t>
  </si>
  <si>
    <t xml:space="preserve">Jump over low obstacles</t>
  </si>
  <si>
    <t xml:space="preserve">Should</t>
  </si>
  <si>
    <t xml:space="preserve">PlayerController.cs (jumpHeight)</t>
  </si>
  <si>
    <t xml:space="preserve">FR_07</t>
  </si>
  <si>
    <t xml:space="preserve">Explorable horror corridors</t>
  </si>
  <si>
    <t xml:space="preserve">neww.unity scene, Abandoned_Asylum assets</t>
  </si>
  <si>
    <t xml:space="preserve">FR_08</t>
  </si>
  <si>
    <t xml:space="preserve">Vary corridors/rooms/lighting between sessions</t>
  </si>
  <si>
    <t xml:space="preserve">CorridorGenerator.cs exists (random prefabs) but main level is a fixed scene</t>
  </si>
  <si>
    <t xml:space="preserve">FR_09</t>
  </si>
  <si>
    <t xml:space="preserve">Unlock new areas by progress</t>
  </si>
  <si>
    <t xml:space="preserve">Keys, KeypadController, DoorController, ProgressionManager</t>
  </si>
  <si>
    <t xml:space="preserve">FR_10</t>
  </si>
  <si>
    <t xml:space="preserve">Interactive objects</t>
  </si>
  <si>
    <t xml:space="preserve">Drawers, jars, TV, phone, throwables</t>
  </si>
  <si>
    <t xml:space="preserve">FR_11</t>
  </si>
  <si>
    <t xml:space="preserve">Non-scripted horror events</t>
  </si>
  <si>
    <t xml:space="preserve">Flicker, ScreamAndVanish, illusions, ambush exist but mostly trigger-based</t>
  </si>
  <si>
    <t xml:space="preserve">FR_12</t>
  </si>
  <si>
    <t xml:space="preserve">Horror event frequency rises under tension</t>
  </si>
  <si>
    <t xml:space="preserve">No tension-driven event scheduler found</t>
  </si>
  <si>
    <t xml:space="preserve">FR_13</t>
  </si>
  <si>
    <t xml:space="preserve">Environment reacts to action/inaction</t>
  </si>
  <si>
    <t xml:space="preserve">Long stops tracked for DDA, but environment not adjusted</t>
  </si>
  <si>
    <t xml:space="preserve">FR_14</t>
  </si>
  <si>
    <t xml:space="preserve">Patrol defined locations</t>
  </si>
  <si>
    <t xml:space="preserve">EnemyAI.PatrolBehavior</t>
  </si>
  <si>
    <t xml:space="preserve">FR_15</t>
  </si>
  <si>
    <t xml:space="preserve">Detect player with multiple senses</t>
  </si>
  <si>
    <t xml:space="preserve">EnemyAI sight + HearNoise</t>
  </si>
  <si>
    <t xml:space="preserve">FR_16</t>
  </si>
  <si>
    <t xml:space="preserve">Chase after detection</t>
  </si>
  <si>
    <t xml:space="preserve">EnemyAI.ChaseBehavior</t>
  </si>
  <si>
    <t xml:space="preserve">FR_17</t>
  </si>
  <si>
    <t xml:space="preserve">Search after losing sight</t>
  </si>
  <si>
    <t xml:space="preserve">EnemyAI.SearchBehavior</t>
  </si>
  <si>
    <t xml:space="preserve">FR_18</t>
  </si>
  <si>
    <t xml:space="preserve">Return to patrol if not found</t>
  </si>
  <si>
    <t xml:space="preserve">EnemyAI state machine</t>
  </si>
  <si>
    <t xml:space="preserve">FR_19</t>
  </si>
  <si>
    <t xml:space="preserve">Attack in range</t>
  </si>
  <si>
    <t xml:space="preserve">EnemyAI.AttackPlayer</t>
  </si>
  <si>
    <t xml:space="preserve">FR_20</t>
  </si>
  <si>
    <t xml:space="preserve">Pathfinding around obstacles</t>
  </si>
  <si>
    <t xml:space="preserve">NavMeshAgent</t>
  </si>
  <si>
    <t xml:space="preserve">FR_21</t>
  </si>
  <si>
    <t xml:space="preserve">Adapt to player history (hiding spots)</t>
  </si>
  <si>
    <t xml:space="preserve">SetFavouriteHidingSpot via PlayerBehaviorTracker</t>
  </si>
  <si>
    <t xml:space="preserve">FR_22</t>
  </si>
  <si>
    <t xml:space="preserve">Collect behaviour data</t>
  </si>
  <si>
    <t xml:space="preserve">PlayerBehaviorTracker (hiding, movement, puzzle time, deaths, survival)</t>
  </si>
  <si>
    <t xml:space="preserve">FR_23</t>
  </si>
  <si>
    <t xml:space="preserve">Analyse performance patterns</t>
  </si>
  <si>
    <t xml:space="preserve">Comfort score, 5 factors (Sec 7.4)</t>
  </si>
  <si>
    <t xml:space="preserve">FR_24</t>
  </si>
  <si>
    <t xml:space="preserve">Classify skill class</t>
  </si>
  <si>
    <t xml:space="preserve">Struggling / Balanced / Confident</t>
  </si>
  <si>
    <t xml:space="preserve">FR_25</t>
  </si>
  <si>
    <t xml:space="preserve">Enemy adapts to skill class</t>
  </si>
  <si>
    <t xml:space="preserve">EnemyAI.ApplyAggression</t>
  </si>
  <si>
    <t xml:space="preserve">FR_26</t>
  </si>
  <si>
    <t xml:space="preserve">Output difficulty parameters</t>
  </si>
  <si>
    <t xml:space="preserve">Aggression 1-5, speed/range bonus</t>
  </si>
  <si>
    <t xml:space="preserve">FR_27</t>
  </si>
  <si>
    <t xml:space="preserve">Interactive puzzles</t>
  </si>
  <si>
    <t xml:space="preserve">Clock, generator, fuse, oven, microwave, keypad, acid</t>
  </si>
  <si>
    <t xml:space="preserve">FR_28</t>
  </si>
  <si>
    <t xml:space="preserve">Puzzle unlocks progression</t>
  </si>
  <si>
    <t xml:space="preserve">Puzzles open doors/give keys</t>
  </si>
  <si>
    <t xml:space="preserve">FR_29</t>
  </si>
  <si>
    <t xml:space="preserve">Clues while exploring</t>
  </si>
  <si>
    <t xml:space="preserve">ReadableNote.cs</t>
  </si>
  <si>
    <t xml:space="preserve">FR_30</t>
  </si>
  <si>
    <t xml:space="preserve">Validate solution before progress</t>
  </si>
  <si>
    <t xml:space="preserve">KeypadController, puzzle scripts</t>
  </si>
  <si>
    <t xml:space="preserve">FR_31</t>
  </si>
  <si>
    <t xml:space="preserve">Track completion of every puzzle</t>
  </si>
  <si>
    <t xml:space="preserve">SaveManager flags</t>
  </si>
  <si>
    <t xml:space="preserve">FR_32</t>
  </si>
  <si>
    <t xml:space="preserve">Puzzle progress in save data</t>
  </si>
  <si>
    <t xml:space="preserve">flagsCSV / unlockedDoorsCSV</t>
  </si>
  <si>
    <t xml:space="preserve">FR_33</t>
  </si>
  <si>
    <t xml:space="preserve">Collect and store items</t>
  </si>
  <si>
    <t xml:space="preserve">Inventory.PickUpItem</t>
  </si>
  <si>
    <t xml:space="preserve">FR_34</t>
  </si>
  <si>
    <t xml:space="preserve">Inventory record of all items</t>
  </si>
  <si>
    <t xml:space="preserve">Only one item held in hand; no full list</t>
  </si>
  <si>
    <t xml:space="preserve">FR_35</t>
  </si>
  <si>
    <t xml:space="preserve">Inspect items / read documents in inventory</t>
  </si>
  <si>
    <t xml:space="preserve">Notes readable in world only</t>
  </si>
  <si>
    <t xml:space="preserve">FR_36</t>
  </si>
  <si>
    <t xml:space="preserve">Inventory persists across saves</t>
  </si>
  <si>
    <t xml:space="preserve">heldItemName, collectedItemsCSV</t>
  </si>
  <si>
    <t xml:space="preserve">FR_37</t>
  </si>
  <si>
    <t xml:space="preserve">Organise items for quick finding</t>
  </si>
  <si>
    <t xml:space="preserve">No inventory UI</t>
  </si>
  <si>
    <t xml:space="preserve">FR_38</t>
  </si>
  <si>
    <t xml:space="preserve">Manual saving</t>
  </si>
  <si>
    <t xml:space="preserve">Only autosave</t>
  </si>
  <si>
    <t xml:space="preserve">FR_39</t>
  </si>
  <si>
    <t xml:space="preserve">Automatic checkpoints</t>
  </si>
  <si>
    <t xml:space="preserve">SaveManager.TrySavePlayerCheckpoint</t>
  </si>
  <si>
    <t xml:space="preserve">FR_40</t>
  </si>
  <si>
    <t xml:space="preserve">Restore complete game state</t>
  </si>
  <si>
    <t xml:space="preserve">Position, items, doors, flags, DDA restored; enemy AI state not</t>
  </si>
  <si>
    <t xml:space="preserve">FR_41</t>
  </si>
  <si>
    <t xml:space="preserve">Validate / protect against corruption</t>
  </si>
  <si>
    <t xml:space="preserve">try/catch, falls back to new save; no backup/checksum</t>
  </si>
  <si>
    <t xml:space="preserve">FR_42</t>
  </si>
  <si>
    <t xml:space="preserve">Saves listed on main &amp; pause menu</t>
  </si>
  <si>
    <t xml:space="preserve">Single save + Resume button; no list, no pause menu</t>
  </si>
  <si>
    <t xml:space="preserve">FR_43</t>
  </si>
  <si>
    <t xml:space="preserve">Dynamic + 3D positional audio</t>
  </si>
  <si>
    <t xml:space="preserve">Spatial audio sources</t>
  </si>
  <si>
    <t xml:space="preserve">FR_44</t>
  </si>
  <si>
    <t xml:space="preserve">Audio intensity adapts</t>
  </si>
  <si>
    <t xml:space="preserve">AudioManager tension heartbeat</t>
  </si>
  <si>
    <t xml:space="preserve">FR_45</t>
  </si>
  <si>
    <t xml:space="preserve">Real-time lighting adjustments</t>
  </si>
  <si>
    <t xml:space="preserve">LightFlicker, FlickeringLight, LightShadowBudget</t>
  </si>
  <si>
    <t xml:space="preserve">FR_46</t>
  </si>
  <si>
    <t xml:space="preserve">Visual effects for horror</t>
  </si>
  <si>
    <t xml:space="preserve">EnemyHorrorFX, gas, sparks</t>
  </si>
  <si>
    <t xml:space="preserve">FR_47</t>
  </si>
  <si>
    <t xml:space="preserve">Adjust volume/brightness/effects in settings</t>
  </si>
  <si>
    <t xml:space="preserve">Settings panel opens but no sliders</t>
  </si>
  <si>
    <t xml:space="preserve">FR_48</t>
  </si>
  <si>
    <t xml:space="preserve">Track progression milestones</t>
  </si>
  <si>
    <t xml:space="preserve">ProgressionManager phases + flags</t>
  </si>
  <si>
    <t xml:space="preserve">FR_49</t>
  </si>
  <si>
    <t xml:space="preserve">Objectives auto-update</t>
  </si>
  <si>
    <t xml:space="preserve">No objectives system</t>
  </si>
  <si>
    <t xml:space="preserve">FR_50</t>
  </si>
  <si>
    <t xml:space="preserve">Progression unlocks content</t>
  </si>
  <si>
    <t xml:space="preserve">Nightmare / Escape phases</t>
  </si>
  <si>
    <t xml:space="preserve">FR_51</t>
  </si>
  <si>
    <t xml:space="preserve">Record completion statistics</t>
  </si>
  <si>
    <t xml:space="preserve">playTime, deaths recorded but not shown</t>
  </si>
  <si>
    <t xml:space="preserve">FR_52</t>
  </si>
  <si>
    <t xml:space="preserve">Achievement tracking</t>
  </si>
  <si>
    <t xml:space="preserve">Not implemented</t>
  </si>
  <si>
    <t xml:space="preserve">FR_53</t>
  </si>
  <si>
    <t xml:space="preserve">Achievement progress displayed</t>
  </si>
  <si>
    <t xml:space="preserve">FR_54</t>
  </si>
  <si>
    <t xml:space="preserve">Multiple story endings</t>
  </si>
  <si>
    <t xml:space="preserve">Escape ending + permadeath only</t>
  </si>
  <si>
    <t xml:space="preserve">FR_55</t>
  </si>
  <si>
    <t xml:space="preserve">Decisions influence ending</t>
  </si>
  <si>
    <t xml:space="preserve">No decision tracking</t>
  </si>
  <si>
    <t xml:space="preserve">FR_56</t>
  </si>
  <si>
    <t xml:space="preserve">Ending summary screen</t>
  </si>
  <si>
    <t xml:space="preserve">Only 'THE END' message</t>
  </si>
  <si>
    <t xml:space="preserve">FR_57</t>
  </si>
  <si>
    <t xml:space="preserve">Continuous performance evaluation</t>
  </si>
  <si>
    <t xml:space="preserve">Every 30 s + after each puzzle</t>
  </si>
  <si>
    <t xml:space="preserve">FR_58</t>
  </si>
  <si>
    <t xml:space="preserve">Automatic difficulty adjustment</t>
  </si>
  <si>
    <t xml:space="preserve">PlayerBehaviorTracker.Evaluate</t>
  </si>
  <si>
    <t xml:space="preserve">FR_59</t>
  </si>
  <si>
    <t xml:space="preserve">Aggression reflects skill</t>
  </si>
  <si>
    <t xml:space="preserve">ApplyAggression</t>
  </si>
  <si>
    <t xml:space="preserve">FR_60</t>
  </si>
  <si>
    <t xml:space="preserve">Smooth changes (max 1 level)</t>
  </si>
  <si>
    <t xml:space="preserve">2 confirmations, +/-1 level</t>
  </si>
  <si>
    <t xml:space="preserve">FR_61</t>
  </si>
  <si>
    <t xml:space="preserve">Hints for struggling players</t>
  </si>
  <si>
    <t xml:space="preserve">Hint messages with cooldown</t>
  </si>
  <si>
    <t xml:space="preserve">FR_62</t>
  </si>
  <si>
    <t xml:space="preserve">Narrative clues (documents, objects)</t>
  </si>
  <si>
    <t xml:space="preserve">ReadableNote, BodyBag, CreepyTV</t>
  </si>
  <si>
    <t xml:space="preserve">FR_63</t>
  </si>
  <si>
    <t xml:space="preserve">Story through exploration</t>
  </si>
  <si>
    <t xml:space="preserve">Intro cinematic, notes, phases</t>
  </si>
  <si>
    <t xml:space="preserve">FR_64</t>
  </si>
  <si>
    <t xml:space="preserve">Hidden lore, consistent across endings</t>
  </si>
  <si>
    <t xml:space="preserve">Little hidden lore</t>
  </si>
  <si>
    <t xml:space="preserve">FR_65</t>
  </si>
  <si>
    <t xml:space="preserve">Hazards independent of enemy</t>
  </si>
  <si>
    <t xml:space="preserve">4 hazard scripts</t>
  </si>
  <si>
    <t xml:space="preserve">FR_66</t>
  </si>
  <si>
    <t xml:space="preserve">Audio/visual warning</t>
  </si>
  <si>
    <t xml:space="preserve">Buzz, sparks, hiss, glass</t>
  </si>
  <si>
    <t xml:space="preserve">FR_67</t>
  </si>
  <si>
    <t xml:space="preserve">Toxic gas room</t>
  </si>
  <si>
    <t xml:space="preserve">ToxicGasTrap.cs (60 s, 5 HP/s, hallucinations, fan)</t>
  </si>
  <si>
    <t xml:space="preserve">FR_68</t>
  </si>
  <si>
    <t xml:space="preserve">Electrified barrier + keypad</t>
  </si>
  <si>
    <t xml:space="preserve">ElectricTrap.cs + KeypadController</t>
  </si>
  <si>
    <t xml:space="preserve">FR_69</t>
  </si>
  <si>
    <t xml:space="preserve">Glass shards damage + noise to AI</t>
  </si>
  <si>
    <t xml:space="preserve">GlassShardTrap.cs -&gt; EnemyAI.HearNoise</t>
  </si>
  <si>
    <t xml:space="preserve">FR_70</t>
  </si>
  <si>
    <t xml:space="preserve">Acid tank drained with Valve</t>
  </si>
  <si>
    <t xml:space="preserve">AcidDrainPuzzle.cs</t>
  </si>
  <si>
    <t xml:space="preserve">FR_71</t>
  </si>
  <si>
    <t xml:space="preserve">Hazard cleared state saved</t>
  </si>
  <si>
    <t xml:space="preserve">SetFlag / HasFlag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</si>
</sst>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47857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  <c r="B4" s="4" t="n">
        <f aca="false">SUM(Requirements!F2:F72)/COUNTA(Requirements!B2:B72)</f>
        <v>0.795774647887324</v>
      </c>
    </row>
    <row r="5" customFormat="false" ht="15" hidden="false" customHeight="false" outlineLevel="0" collapsed="false">
      <c r="A5" s="5" t="s">
        <v>3</v>
      </c>
      <c r="B5" s="5" t="str">
        <f aca="false">SUM(Requirements!F2:F72)&amp;" / "&amp;COUNTA(Requirements!B2:B72)</f>
        <v>56.5 / 71</v>
      </c>
    </row>
    <row r="6" customFormat="false" ht="15" hidden="false" customHeight="false" outlineLevel="0" collapsed="false">
      <c r="A6" s="5" t="s">
        <v>4</v>
      </c>
      <c r="B6" s="6" t="n">
        <f aca="false">SUMIFS(Requirements!F2:F72,Requirements!D2:D72,"Shall")/COUNTIFS(Requirements!D2:D72,"Shall")</f>
        <v>0.818181818181818</v>
      </c>
    </row>
    <row r="8" customFormat="false" ht="15" hidden="false" customHeight="false" outlineLevel="0" collapsed="false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</row>
    <row r="9" customFormat="false" ht="15" hidden="false" customHeight="false" outlineLevel="0" collapsed="false">
      <c r="A9" s="8" t="s">
        <v>13</v>
      </c>
      <c r="B9" s="9" t="s">
        <v>14</v>
      </c>
      <c r="C9" s="9" t="n">
        <f aca="false">COUNTIFS(Requirements!$A$2:$A$72,A9)</f>
        <v>6</v>
      </c>
      <c r="D9" s="9" t="n">
        <f aca="false">COUNTIFS(Requirements!$A$2:$A$72,$A9,Requirements!$E$2:$E$72,"Done")</f>
        <v>6</v>
      </c>
      <c r="E9" s="9" t="n">
        <f aca="false">COUNTIFS(Requirements!$A$2:$A$72,$A9,Requirements!$E$2:$E$72,"Partial")</f>
        <v>0</v>
      </c>
      <c r="F9" s="9" t="n">
        <f aca="false">COUNTIFS(Requirements!$A$2:$A$72,$A9,Requirements!$E$2:$E$72,"Missing")</f>
        <v>0</v>
      </c>
      <c r="G9" s="9" t="n">
        <f aca="false">SUMIFS(Requirements!$F$2:$F$72,Requirements!$A$2:$A$72,A9)</f>
        <v>6</v>
      </c>
      <c r="H9" s="10" t="n">
        <f aca="false">IF(C9=0,0,G9/C9)</f>
        <v>1</v>
      </c>
    </row>
    <row r="10" customFormat="false" ht="15" hidden="false" customHeight="false" outlineLevel="0" collapsed="false">
      <c r="A10" s="8" t="s">
        <v>15</v>
      </c>
      <c r="B10" s="9" t="s">
        <v>16</v>
      </c>
      <c r="C10" s="9" t="n">
        <f aca="false">COUNTIFS(Requirements!$A$2:$A$72,A10)</f>
        <v>7</v>
      </c>
      <c r="D10" s="9" t="n">
        <f aca="false">COUNTIFS(Requirements!$A$2:$A$72,$A10,Requirements!$E$2:$E$72,"Done")</f>
        <v>3</v>
      </c>
      <c r="E10" s="9" t="n">
        <f aca="false">COUNTIFS(Requirements!$A$2:$A$72,$A10,Requirements!$E$2:$E$72,"Partial")</f>
        <v>3</v>
      </c>
      <c r="F10" s="9" t="n">
        <f aca="false">COUNTIFS(Requirements!$A$2:$A$72,$A10,Requirements!$E$2:$E$72,"Missing")</f>
        <v>1</v>
      </c>
      <c r="G10" s="9" t="n">
        <f aca="false">SUMIFS(Requirements!$F$2:$F$72,Requirements!$A$2:$A$72,A10)</f>
        <v>4.5</v>
      </c>
      <c r="H10" s="10" t="n">
        <f aca="false">IF(C10=0,0,G10/C10)</f>
        <v>0.642857142857143</v>
      </c>
    </row>
    <row r="11" customFormat="false" ht="15" hidden="false" customHeight="false" outlineLevel="0" collapsed="false">
      <c r="A11" s="8" t="s">
        <v>17</v>
      </c>
      <c r="B11" s="9" t="s">
        <v>18</v>
      </c>
      <c r="C11" s="9" t="n">
        <f aca="false">COUNTIFS(Requirements!$A$2:$A$72,A11)</f>
        <v>8</v>
      </c>
      <c r="D11" s="9" t="n">
        <f aca="false">COUNTIFS(Requirements!$A$2:$A$72,$A11,Requirements!$E$2:$E$72,"Done")</f>
        <v>8</v>
      </c>
      <c r="E11" s="9" t="n">
        <f aca="false">COUNTIFS(Requirements!$A$2:$A$72,$A11,Requirements!$E$2:$E$72,"Partial")</f>
        <v>0</v>
      </c>
      <c r="F11" s="9" t="n">
        <f aca="false">COUNTIFS(Requirements!$A$2:$A$72,$A11,Requirements!$E$2:$E$72,"Missing")</f>
        <v>0</v>
      </c>
      <c r="G11" s="9" t="n">
        <f aca="false">SUMIFS(Requirements!$F$2:$F$72,Requirements!$A$2:$A$72,A11)</f>
        <v>8</v>
      </c>
      <c r="H11" s="10" t="n">
        <f aca="false">IF(C11=0,0,G11/C11)</f>
        <v>1</v>
      </c>
    </row>
    <row r="12" customFormat="false" ht="15" hidden="false" customHeight="false" outlineLevel="0" collapsed="false">
      <c r="A12" s="8" t="s">
        <v>19</v>
      </c>
      <c r="B12" s="9" t="s">
        <v>20</v>
      </c>
      <c r="C12" s="9" t="n">
        <f aca="false">COUNTIFS(Requirements!$A$2:$A$72,A12)</f>
        <v>5</v>
      </c>
      <c r="D12" s="9" t="n">
        <f aca="false">COUNTIFS(Requirements!$A$2:$A$72,$A12,Requirements!$E$2:$E$72,"Done")</f>
        <v>5</v>
      </c>
      <c r="E12" s="9" t="n">
        <f aca="false">COUNTIFS(Requirements!$A$2:$A$72,$A12,Requirements!$E$2:$E$72,"Partial")</f>
        <v>0</v>
      </c>
      <c r="F12" s="9" t="n">
        <f aca="false">COUNTIFS(Requirements!$A$2:$A$72,$A12,Requirements!$E$2:$E$72,"Missing")</f>
        <v>0</v>
      </c>
      <c r="G12" s="9" t="n">
        <f aca="false">SUMIFS(Requirements!$F$2:$F$72,Requirements!$A$2:$A$72,A12)</f>
        <v>5</v>
      </c>
      <c r="H12" s="10" t="n">
        <f aca="false">IF(C12=0,0,G12/C12)</f>
        <v>1</v>
      </c>
    </row>
    <row r="13" customFormat="false" ht="15" hidden="false" customHeight="false" outlineLevel="0" collapsed="false">
      <c r="A13" s="8" t="s">
        <v>21</v>
      </c>
      <c r="B13" s="9" t="s">
        <v>22</v>
      </c>
      <c r="C13" s="9" t="n">
        <f aca="false">COUNTIFS(Requirements!$A$2:$A$72,A13)</f>
        <v>6</v>
      </c>
      <c r="D13" s="9" t="n">
        <f aca="false">COUNTIFS(Requirements!$A$2:$A$72,$A13,Requirements!$E$2:$E$72,"Done")</f>
        <v>6</v>
      </c>
      <c r="E13" s="9" t="n">
        <f aca="false">COUNTIFS(Requirements!$A$2:$A$72,$A13,Requirements!$E$2:$E$72,"Partial")</f>
        <v>0</v>
      </c>
      <c r="F13" s="9" t="n">
        <f aca="false">COUNTIFS(Requirements!$A$2:$A$72,$A13,Requirements!$E$2:$E$72,"Missing")</f>
        <v>0</v>
      </c>
      <c r="G13" s="9" t="n">
        <f aca="false">SUMIFS(Requirements!$F$2:$F$72,Requirements!$A$2:$A$72,A13)</f>
        <v>6</v>
      </c>
      <c r="H13" s="10" t="n">
        <f aca="false">IF(C13=0,0,G13/C13)</f>
        <v>1</v>
      </c>
    </row>
    <row r="14" customFormat="false" ht="15" hidden="false" customHeight="false" outlineLevel="0" collapsed="false">
      <c r="A14" s="8" t="s">
        <v>23</v>
      </c>
      <c r="B14" s="9" t="s">
        <v>24</v>
      </c>
      <c r="C14" s="9" t="n">
        <f aca="false">COUNTIFS(Requirements!$A$2:$A$72,A14)</f>
        <v>5</v>
      </c>
      <c r="D14" s="9" t="n">
        <f aca="false">COUNTIFS(Requirements!$A$2:$A$72,$A14,Requirements!$E$2:$E$72,"Done")</f>
        <v>2</v>
      </c>
      <c r="E14" s="9" t="n">
        <f aca="false">COUNTIFS(Requirements!$A$2:$A$72,$A14,Requirements!$E$2:$E$72,"Partial")</f>
        <v>2</v>
      </c>
      <c r="F14" s="9" t="n">
        <f aca="false">COUNTIFS(Requirements!$A$2:$A$72,$A14,Requirements!$E$2:$E$72,"Missing")</f>
        <v>1</v>
      </c>
      <c r="G14" s="9" t="n">
        <f aca="false">SUMIFS(Requirements!$F$2:$F$72,Requirements!$A$2:$A$72,A14)</f>
        <v>3</v>
      </c>
      <c r="H14" s="10" t="n">
        <f aca="false">IF(C14=0,0,G14/C14)</f>
        <v>0.6</v>
      </c>
    </row>
    <row r="15" customFormat="false" ht="15" hidden="false" customHeight="false" outlineLevel="0" collapsed="false">
      <c r="A15" s="8" t="s">
        <v>25</v>
      </c>
      <c r="B15" s="9" t="s">
        <v>26</v>
      </c>
      <c r="C15" s="9" t="n">
        <f aca="false">COUNTIFS(Requirements!$A$2:$A$72,A15)</f>
        <v>5</v>
      </c>
      <c r="D15" s="9" t="n">
        <f aca="false">COUNTIFS(Requirements!$A$2:$A$72,$A15,Requirements!$E$2:$E$72,"Done")</f>
        <v>1</v>
      </c>
      <c r="E15" s="9" t="n">
        <f aca="false">COUNTIFS(Requirements!$A$2:$A$72,$A15,Requirements!$E$2:$E$72,"Partial")</f>
        <v>3</v>
      </c>
      <c r="F15" s="9" t="n">
        <f aca="false">COUNTIFS(Requirements!$A$2:$A$72,$A15,Requirements!$E$2:$E$72,"Missing")</f>
        <v>1</v>
      </c>
      <c r="G15" s="9" t="n">
        <f aca="false">SUMIFS(Requirements!$F$2:$F$72,Requirements!$A$2:$A$72,A15)</f>
        <v>2.5</v>
      </c>
      <c r="H15" s="10" t="n">
        <f aca="false">IF(C15=0,0,G15/C15)</f>
        <v>0.5</v>
      </c>
    </row>
    <row r="16" customFormat="false" ht="15" hidden="false" customHeight="false" outlineLevel="0" collapsed="false">
      <c r="A16" s="8" t="s">
        <v>27</v>
      </c>
      <c r="B16" s="9" t="s">
        <v>28</v>
      </c>
      <c r="C16" s="9" t="n">
        <f aca="false">COUNTIFS(Requirements!$A$2:$A$72,A16)</f>
        <v>5</v>
      </c>
      <c r="D16" s="9" t="n">
        <f aca="false">COUNTIFS(Requirements!$A$2:$A$72,$A16,Requirements!$E$2:$E$72,"Done")</f>
        <v>4</v>
      </c>
      <c r="E16" s="9" t="n">
        <f aca="false">COUNTIFS(Requirements!$A$2:$A$72,$A16,Requirements!$E$2:$E$72,"Partial")</f>
        <v>0</v>
      </c>
      <c r="F16" s="9" t="n">
        <f aca="false">COUNTIFS(Requirements!$A$2:$A$72,$A16,Requirements!$E$2:$E$72,"Missing")</f>
        <v>1</v>
      </c>
      <c r="G16" s="9" t="n">
        <f aca="false">SUMIFS(Requirements!$F$2:$F$72,Requirements!$A$2:$A$72,A16)</f>
        <v>4</v>
      </c>
      <c r="H16" s="10" t="n">
        <f aca="false">IF(C16=0,0,G16/C16)</f>
        <v>0.8</v>
      </c>
    </row>
    <row r="17" customFormat="false" ht="15" hidden="false" customHeight="false" outlineLevel="0" collapsed="false">
      <c r="A17" s="8" t="s">
        <v>29</v>
      </c>
      <c r="B17" s="9" t="s">
        <v>30</v>
      </c>
      <c r="C17" s="9" t="n">
        <f aca="false">COUNTIFS(Requirements!$A$2:$A$72,A17)</f>
        <v>9</v>
      </c>
      <c r="D17" s="9" t="n">
        <f aca="false">COUNTIFS(Requirements!$A$2:$A$72,$A17,Requirements!$E$2:$E$72,"Done")</f>
        <v>2</v>
      </c>
      <c r="E17" s="9" t="n">
        <f aca="false">COUNTIFS(Requirements!$A$2:$A$72,$A17,Requirements!$E$2:$E$72,"Partial")</f>
        <v>2</v>
      </c>
      <c r="F17" s="9" t="n">
        <f aca="false">COUNTIFS(Requirements!$A$2:$A$72,$A17,Requirements!$E$2:$E$72,"Missing")</f>
        <v>5</v>
      </c>
      <c r="G17" s="9" t="n">
        <f aca="false">SUMIFS(Requirements!$F$2:$F$72,Requirements!$A$2:$A$72,A17)</f>
        <v>3</v>
      </c>
      <c r="H17" s="10" t="n">
        <f aca="false">IF(C17=0,0,G17/C17)</f>
        <v>0.333333333333333</v>
      </c>
    </row>
    <row r="18" customFormat="false" ht="15" hidden="false" customHeight="false" outlineLevel="0" collapsed="false">
      <c r="A18" s="8" t="s">
        <v>31</v>
      </c>
      <c r="B18" s="9" t="s">
        <v>32</v>
      </c>
      <c r="C18" s="9" t="n">
        <f aca="false">COUNTIFS(Requirements!$A$2:$A$72,A18)</f>
        <v>5</v>
      </c>
      <c r="D18" s="9" t="n">
        <f aca="false">COUNTIFS(Requirements!$A$2:$A$72,$A18,Requirements!$E$2:$E$72,"Done")</f>
        <v>5</v>
      </c>
      <c r="E18" s="9" t="n">
        <f aca="false">COUNTIFS(Requirements!$A$2:$A$72,$A18,Requirements!$E$2:$E$72,"Partial")</f>
        <v>0</v>
      </c>
      <c r="F18" s="9" t="n">
        <f aca="false">COUNTIFS(Requirements!$A$2:$A$72,$A18,Requirements!$E$2:$E$72,"Missing")</f>
        <v>0</v>
      </c>
      <c r="G18" s="9" t="n">
        <f aca="false">SUMIFS(Requirements!$F$2:$F$72,Requirements!$A$2:$A$72,A18)</f>
        <v>5</v>
      </c>
      <c r="H18" s="10" t="n">
        <f aca="false">IF(C18=0,0,G18/C18)</f>
        <v>1</v>
      </c>
    </row>
    <row r="19" customFormat="false" ht="15" hidden="false" customHeight="false" outlineLevel="0" collapsed="false">
      <c r="A19" s="8" t="s">
        <v>33</v>
      </c>
      <c r="B19" s="9" t="s">
        <v>34</v>
      </c>
      <c r="C19" s="9" t="n">
        <f aca="false">COUNTIFS(Requirements!$A$2:$A$72,A19)</f>
        <v>3</v>
      </c>
      <c r="D19" s="9" t="n">
        <f aca="false">COUNTIFS(Requirements!$A$2:$A$72,$A19,Requirements!$E$2:$E$72,"Done")</f>
        <v>2</v>
      </c>
      <c r="E19" s="9" t="n">
        <f aca="false">COUNTIFS(Requirements!$A$2:$A$72,$A19,Requirements!$E$2:$E$72,"Partial")</f>
        <v>1</v>
      </c>
      <c r="F19" s="9" t="n">
        <f aca="false">COUNTIFS(Requirements!$A$2:$A$72,$A19,Requirements!$E$2:$E$72,"Missing")</f>
        <v>0</v>
      </c>
      <c r="G19" s="9" t="n">
        <f aca="false">SUMIFS(Requirements!$F$2:$F$72,Requirements!$A$2:$A$72,A19)</f>
        <v>2.5</v>
      </c>
      <c r="H19" s="10" t="n">
        <f aca="false">IF(C19=0,0,G19/C19)</f>
        <v>0.833333333333333</v>
      </c>
    </row>
    <row r="20" customFormat="false" ht="15" hidden="false" customHeight="false" outlineLevel="0" collapsed="false">
      <c r="A20" s="8" t="s">
        <v>35</v>
      </c>
      <c r="B20" s="9" t="s">
        <v>36</v>
      </c>
      <c r="C20" s="9" t="n">
        <f aca="false">COUNTIFS(Requirements!$A$2:$A$72,A20)</f>
        <v>7</v>
      </c>
      <c r="D20" s="9" t="n">
        <f aca="false">COUNTIFS(Requirements!$A$2:$A$72,$A20,Requirements!$E$2:$E$72,"Done")</f>
        <v>7</v>
      </c>
      <c r="E20" s="9" t="n">
        <f aca="false">COUNTIFS(Requirements!$A$2:$A$72,$A20,Requirements!$E$2:$E$72,"Partial")</f>
        <v>0</v>
      </c>
      <c r="F20" s="9" t="n">
        <f aca="false">COUNTIFS(Requirements!$A$2:$A$72,$A20,Requirements!$E$2:$E$72,"Missing")</f>
        <v>0</v>
      </c>
      <c r="G20" s="9" t="n">
        <f aca="false">SUMIFS(Requirements!$F$2:$F$72,Requirements!$A$2:$A$72,A20)</f>
        <v>7</v>
      </c>
      <c r="H20" s="10" t="n">
        <f aca="false">IF(C20=0,0,G20/C20)</f>
        <v>1</v>
      </c>
    </row>
    <row r="21" customFormat="false" ht="15" hidden="false" customHeight="false" outlineLevel="0" collapsed="false">
      <c r="A21" s="11" t="s">
        <v>37</v>
      </c>
      <c r="B21" s="12"/>
      <c r="C21" s="12" t="n">
        <f aca="false">SUM(C9:C20)</f>
        <v>71</v>
      </c>
      <c r="D21" s="12" t="n">
        <f aca="false">SUM(D9:D20)</f>
        <v>51</v>
      </c>
      <c r="E21" s="12" t="n">
        <f aca="false">SUM(E9:E20)</f>
        <v>11</v>
      </c>
      <c r="F21" s="12" t="n">
        <f aca="false">SUM(F9:F20)</f>
        <v>9</v>
      </c>
      <c r="G21" s="12" t="n">
        <f aca="false">SUM(G9:G20)</f>
        <v>56.5</v>
      </c>
      <c r="H21" s="13" t="n">
        <f aca="false">G21/C21</f>
        <v>0.795774647887324</v>
      </c>
    </row>
    <row r="23" customFormat="false" ht="15" hidden="false" customHeight="false" outlineLevel="0" collapsed="false">
      <c r="A23" s="3" t="s">
        <v>38</v>
      </c>
    </row>
    <row r="24" customFormat="false" ht="15" hidden="false" customHeight="false" outlineLevel="0" collapsed="false">
      <c r="A24" s="5" t="s">
        <v>39</v>
      </c>
    </row>
    <row r="25" customFormat="false" ht="15" hidden="false" customHeight="false" outlineLevel="0" collapsed="false">
      <c r="A25" s="5" t="s">
        <v>40</v>
      </c>
    </row>
    <row r="26" customFormat="false" ht="15" hidden="false" customHeight="false" outlineLevel="0" collapsed="false">
      <c r="A26" s="5" t="s">
        <v>41</v>
      </c>
    </row>
    <row r="27" customFormat="false" ht="15" hidden="false" customHeight="false" outlineLevel="0" collapsed="false">
      <c r="A27" s="5" t="s">
        <v>42</v>
      </c>
    </row>
    <row r="28" customFormat="false" ht="15" hidden="false" customHeight="false" outlineLevel="0" collapsed="false">
      <c r="A28" s="5" t="s">
        <v>43</v>
      </c>
    </row>
    <row r="29" customFormat="false" ht="15" hidden="false" customHeight="false" outlineLevel="0" collapsed="false">
      <c r="A29" s="5" t="s">
        <v>44</v>
      </c>
    </row>
  </sheetData>
  <conditionalFormatting sqref="H9:H20">
    <cfRule type="dataBar" priority="2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{73B0BCEC-36E7-43B5-82CE-A6C13700237E}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B0BCEC-36E7-43B5-82CE-A6C13700237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H9:H20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4" t="s">
        <v>45</v>
      </c>
      <c r="B1" s="14" t="s">
        <v>46</v>
      </c>
      <c r="C1" s="14" t="s">
        <v>47</v>
      </c>
      <c r="D1" s="14" t="s">
        <v>48</v>
      </c>
      <c r="E1" s="14" t="s">
        <v>49</v>
      </c>
      <c r="F1" s="14" t="s">
        <v>11</v>
      </c>
      <c r="G1" s="14" t="s">
        <v>50</v>
      </c>
    </row>
    <row r="2" customFormat="false" ht="15" hidden="false" customHeight="false" outlineLevel="0" collapsed="false">
      <c r="A2" s="15" t="s">
        <v>13</v>
      </c>
      <c r="B2" s="16" t="s">
        <v>51</v>
      </c>
      <c r="C2" s="17" t="s">
        <v>52</v>
      </c>
      <c r="D2" s="16" t="s">
        <v>53</v>
      </c>
      <c r="E2" s="18" t="s">
        <v>8</v>
      </c>
      <c r="F2" s="16" t="n">
        <f aca="false">IF(E2="Done",1,IF(E2="Partial",0.5,0))</f>
        <v>1</v>
      </c>
      <c r="G2" s="17" t="s">
        <v>54</v>
      </c>
    </row>
    <row r="3" customFormat="false" ht="15" hidden="false" customHeight="false" outlineLevel="0" collapsed="false">
      <c r="A3" s="15" t="s">
        <v>13</v>
      </c>
      <c r="B3" s="16" t="s">
        <v>55</v>
      </c>
      <c r="C3" s="17" t="s">
        <v>56</v>
      </c>
      <c r="D3" s="16" t="s">
        <v>53</v>
      </c>
      <c r="E3" s="18" t="s">
        <v>8</v>
      </c>
      <c r="F3" s="16" t="n">
        <f aca="false">IF(E3="Done",1,IF(E3="Partial",0.5,0))</f>
        <v>1</v>
      </c>
      <c r="G3" s="17" t="s">
        <v>57</v>
      </c>
    </row>
    <row r="4" customFormat="false" ht="15" hidden="false" customHeight="false" outlineLevel="0" collapsed="false">
      <c r="A4" s="15" t="s">
        <v>13</v>
      </c>
      <c r="B4" s="16" t="s">
        <v>58</v>
      </c>
      <c r="C4" s="17" t="s">
        <v>59</v>
      </c>
      <c r="D4" s="16" t="s">
        <v>53</v>
      </c>
      <c r="E4" s="18" t="s">
        <v>8</v>
      </c>
      <c r="F4" s="16" t="n">
        <f aca="false">IF(E4="Done",1,IF(E4="Partial",0.5,0))</f>
        <v>1</v>
      </c>
      <c r="G4" s="17" t="s">
        <v>60</v>
      </c>
    </row>
    <row r="5" customFormat="false" ht="15" hidden="false" customHeight="false" outlineLevel="0" collapsed="false">
      <c r="A5" s="15" t="s">
        <v>13</v>
      </c>
      <c r="B5" s="16" t="s">
        <v>61</v>
      </c>
      <c r="C5" s="17" t="s">
        <v>62</v>
      </c>
      <c r="D5" s="16" t="s">
        <v>53</v>
      </c>
      <c r="E5" s="18" t="s">
        <v>8</v>
      </c>
      <c r="F5" s="16" t="n">
        <f aca="false">IF(E5="Done",1,IF(E5="Partial",0.5,0))</f>
        <v>1</v>
      </c>
      <c r="G5" s="17" t="s">
        <v>63</v>
      </c>
    </row>
    <row r="6" customFormat="false" ht="15" hidden="false" customHeight="false" outlineLevel="0" collapsed="false">
      <c r="A6" s="15" t="s">
        <v>13</v>
      </c>
      <c r="B6" s="16" t="s">
        <v>64</v>
      </c>
      <c r="C6" s="17" t="s">
        <v>65</v>
      </c>
      <c r="D6" s="16" t="s">
        <v>53</v>
      </c>
      <c r="E6" s="18" t="s">
        <v>8</v>
      </c>
      <c r="F6" s="16" t="n">
        <f aca="false">IF(E6="Done",1,IF(E6="Partial",0.5,0))</f>
        <v>1</v>
      </c>
      <c r="G6" s="17" t="s">
        <v>66</v>
      </c>
    </row>
    <row r="7" customFormat="false" ht="15" hidden="false" customHeight="false" outlineLevel="0" collapsed="false">
      <c r="A7" s="15" t="s">
        <v>13</v>
      </c>
      <c r="B7" s="16" t="s">
        <v>67</v>
      </c>
      <c r="C7" s="17" t="s">
        <v>68</v>
      </c>
      <c r="D7" s="16" t="s">
        <v>69</v>
      </c>
      <c r="E7" s="18" t="s">
        <v>8</v>
      </c>
      <c r="F7" s="16" t="n">
        <f aca="false">IF(E7="Done",1,IF(E7="Partial",0.5,0))</f>
        <v>1</v>
      </c>
      <c r="G7" s="17" t="s">
        <v>70</v>
      </c>
    </row>
    <row r="8" customFormat="false" ht="15" hidden="false" customHeight="false" outlineLevel="0" collapsed="false">
      <c r="A8" s="15" t="s">
        <v>15</v>
      </c>
      <c r="B8" s="16" t="s">
        <v>71</v>
      </c>
      <c r="C8" s="17" t="s">
        <v>72</v>
      </c>
      <c r="D8" s="16" t="s">
        <v>53</v>
      </c>
      <c r="E8" s="18" t="s">
        <v>8</v>
      </c>
      <c r="F8" s="16" t="n">
        <f aca="false">IF(E8="Done",1,IF(E8="Partial",0.5,0))</f>
        <v>1</v>
      </c>
      <c r="G8" s="17" t="s">
        <v>73</v>
      </c>
    </row>
    <row r="9" customFormat="false" ht="23.85" hidden="false" customHeight="false" outlineLevel="0" collapsed="false">
      <c r="A9" s="15" t="s">
        <v>15</v>
      </c>
      <c r="B9" s="16" t="s">
        <v>74</v>
      </c>
      <c r="C9" s="17" t="s">
        <v>75</v>
      </c>
      <c r="D9" s="16" t="s">
        <v>53</v>
      </c>
      <c r="E9" s="18" t="s">
        <v>9</v>
      </c>
      <c r="F9" s="16" t="n">
        <f aca="false">IF(E9="Done",1,IF(E9="Partial",0.5,0))</f>
        <v>0.5</v>
      </c>
      <c r="G9" s="17" t="s">
        <v>76</v>
      </c>
    </row>
    <row r="10" customFormat="false" ht="15" hidden="false" customHeight="false" outlineLevel="0" collapsed="false">
      <c r="A10" s="15" t="s">
        <v>15</v>
      </c>
      <c r="B10" s="16" t="s">
        <v>77</v>
      </c>
      <c r="C10" s="17" t="s">
        <v>78</v>
      </c>
      <c r="D10" s="16" t="s">
        <v>53</v>
      </c>
      <c r="E10" s="18" t="s">
        <v>8</v>
      </c>
      <c r="F10" s="16" t="n">
        <f aca="false">IF(E10="Done",1,IF(E10="Partial",0.5,0))</f>
        <v>1</v>
      </c>
      <c r="G10" s="17" t="s">
        <v>79</v>
      </c>
    </row>
    <row r="11" customFormat="false" ht="15" hidden="false" customHeight="false" outlineLevel="0" collapsed="false">
      <c r="A11" s="15" t="s">
        <v>15</v>
      </c>
      <c r="B11" s="16" t="s">
        <v>80</v>
      </c>
      <c r="C11" s="17" t="s">
        <v>81</v>
      </c>
      <c r="D11" s="16" t="s">
        <v>53</v>
      </c>
      <c r="E11" s="18" t="s">
        <v>8</v>
      </c>
      <c r="F11" s="16" t="n">
        <f aca="false">IF(E11="Done",1,IF(E11="Partial",0.5,0))</f>
        <v>1</v>
      </c>
      <c r="G11" s="17" t="s">
        <v>82</v>
      </c>
    </row>
    <row r="12" customFormat="false" ht="23.85" hidden="false" customHeight="false" outlineLevel="0" collapsed="false">
      <c r="A12" s="15" t="s">
        <v>15</v>
      </c>
      <c r="B12" s="16" t="s">
        <v>83</v>
      </c>
      <c r="C12" s="17" t="s">
        <v>84</v>
      </c>
      <c r="D12" s="16" t="s">
        <v>53</v>
      </c>
      <c r="E12" s="18" t="s">
        <v>9</v>
      </c>
      <c r="F12" s="16" t="n">
        <f aca="false">IF(E12="Done",1,IF(E12="Partial",0.5,0))</f>
        <v>0.5</v>
      </c>
      <c r="G12" s="17" t="s">
        <v>85</v>
      </c>
    </row>
    <row r="13" customFormat="false" ht="15" hidden="false" customHeight="false" outlineLevel="0" collapsed="false">
      <c r="A13" s="15" t="s">
        <v>15</v>
      </c>
      <c r="B13" s="16" t="s">
        <v>86</v>
      </c>
      <c r="C13" s="17" t="s">
        <v>87</v>
      </c>
      <c r="D13" s="16" t="s">
        <v>53</v>
      </c>
      <c r="E13" s="18" t="s">
        <v>10</v>
      </c>
      <c r="F13" s="16" t="n">
        <f aca="false">IF(E13="Done",1,IF(E13="Partial",0.5,0))</f>
        <v>0</v>
      </c>
      <c r="G13" s="17" t="s">
        <v>88</v>
      </c>
    </row>
    <row r="14" customFormat="false" ht="15" hidden="false" customHeight="false" outlineLevel="0" collapsed="false">
      <c r="A14" s="15" t="s">
        <v>15</v>
      </c>
      <c r="B14" s="16" t="s">
        <v>89</v>
      </c>
      <c r="C14" s="17" t="s">
        <v>90</v>
      </c>
      <c r="D14" s="16" t="s">
        <v>53</v>
      </c>
      <c r="E14" s="18" t="s">
        <v>9</v>
      </c>
      <c r="F14" s="16" t="n">
        <f aca="false">IF(E14="Done",1,IF(E14="Partial",0.5,0))</f>
        <v>0.5</v>
      </c>
      <c r="G14" s="17" t="s">
        <v>91</v>
      </c>
    </row>
    <row r="15" customFormat="false" ht="15" hidden="false" customHeight="false" outlineLevel="0" collapsed="false">
      <c r="A15" s="15" t="s">
        <v>17</v>
      </c>
      <c r="B15" s="16" t="s">
        <v>92</v>
      </c>
      <c r="C15" s="17" t="s">
        <v>93</v>
      </c>
      <c r="D15" s="16" t="s">
        <v>53</v>
      </c>
      <c r="E15" s="18" t="s">
        <v>8</v>
      </c>
      <c r="F15" s="16" t="n">
        <f aca="false">IF(E15="Done",1,IF(E15="Partial",0.5,0))</f>
        <v>1</v>
      </c>
      <c r="G15" s="17" t="s">
        <v>94</v>
      </c>
    </row>
    <row r="16" customFormat="false" ht="15" hidden="false" customHeight="false" outlineLevel="0" collapsed="false">
      <c r="A16" s="15" t="s">
        <v>17</v>
      </c>
      <c r="B16" s="16" t="s">
        <v>95</v>
      </c>
      <c r="C16" s="17" t="s">
        <v>96</v>
      </c>
      <c r="D16" s="16" t="s">
        <v>53</v>
      </c>
      <c r="E16" s="18" t="s">
        <v>8</v>
      </c>
      <c r="F16" s="16" t="n">
        <f aca="false">IF(E16="Done",1,IF(E16="Partial",0.5,0))</f>
        <v>1</v>
      </c>
      <c r="G16" s="17" t="s">
        <v>97</v>
      </c>
    </row>
    <row r="17" customFormat="false" ht="15" hidden="false" customHeight="false" outlineLevel="0" collapsed="false">
      <c r="A17" s="15" t="s">
        <v>17</v>
      </c>
      <c r="B17" s="16" t="s">
        <v>98</v>
      </c>
      <c r="C17" s="17" t="s">
        <v>99</v>
      </c>
      <c r="D17" s="16" t="s">
        <v>53</v>
      </c>
      <c r="E17" s="18" t="s">
        <v>8</v>
      </c>
      <c r="F17" s="16" t="n">
        <f aca="false">IF(E17="Done",1,IF(E17="Partial",0.5,0))</f>
        <v>1</v>
      </c>
      <c r="G17" s="17" t="s">
        <v>100</v>
      </c>
    </row>
    <row r="18" customFormat="false" ht="15" hidden="false" customHeight="false" outlineLevel="0" collapsed="false">
      <c r="A18" s="15" t="s">
        <v>17</v>
      </c>
      <c r="B18" s="16" t="s">
        <v>101</v>
      </c>
      <c r="C18" s="17" t="s">
        <v>102</v>
      </c>
      <c r="D18" s="16" t="s">
        <v>53</v>
      </c>
      <c r="E18" s="18" t="s">
        <v>8</v>
      </c>
      <c r="F18" s="16" t="n">
        <f aca="false">IF(E18="Done",1,IF(E18="Partial",0.5,0))</f>
        <v>1</v>
      </c>
      <c r="G18" s="17" t="s">
        <v>103</v>
      </c>
    </row>
    <row r="19" customFormat="false" ht="15" hidden="false" customHeight="false" outlineLevel="0" collapsed="false">
      <c r="A19" s="15" t="s">
        <v>17</v>
      </c>
      <c r="B19" s="16" t="s">
        <v>104</v>
      </c>
      <c r="C19" s="17" t="s">
        <v>105</v>
      </c>
      <c r="D19" s="16" t="s">
        <v>53</v>
      </c>
      <c r="E19" s="18" t="s">
        <v>8</v>
      </c>
      <c r="F19" s="16" t="n">
        <f aca="false">IF(E19="Done",1,IF(E19="Partial",0.5,0))</f>
        <v>1</v>
      </c>
      <c r="G19" s="17" t="s">
        <v>106</v>
      </c>
    </row>
    <row r="20" customFormat="false" ht="15" hidden="false" customHeight="false" outlineLevel="0" collapsed="false">
      <c r="A20" s="15" t="s">
        <v>17</v>
      </c>
      <c r="B20" s="16" t="s">
        <v>107</v>
      </c>
      <c r="C20" s="17" t="s">
        <v>108</v>
      </c>
      <c r="D20" s="16" t="s">
        <v>53</v>
      </c>
      <c r="E20" s="18" t="s">
        <v>8</v>
      </c>
      <c r="F20" s="16" t="n">
        <f aca="false">IF(E20="Done",1,IF(E20="Partial",0.5,0))</f>
        <v>1</v>
      </c>
      <c r="G20" s="17" t="s">
        <v>109</v>
      </c>
    </row>
    <row r="21" customFormat="false" ht="15" hidden="false" customHeight="false" outlineLevel="0" collapsed="false">
      <c r="A21" s="15" t="s">
        <v>17</v>
      </c>
      <c r="B21" s="16" t="s">
        <v>110</v>
      </c>
      <c r="C21" s="17" t="s">
        <v>111</v>
      </c>
      <c r="D21" s="16" t="s">
        <v>53</v>
      </c>
      <c r="E21" s="18" t="s">
        <v>8</v>
      </c>
      <c r="F21" s="16" t="n">
        <f aca="false">IF(E21="Done",1,IF(E21="Partial",0.5,0))</f>
        <v>1</v>
      </c>
      <c r="G21" s="17" t="s">
        <v>112</v>
      </c>
    </row>
    <row r="22" customFormat="false" ht="15" hidden="false" customHeight="false" outlineLevel="0" collapsed="false">
      <c r="A22" s="15" t="s">
        <v>17</v>
      </c>
      <c r="B22" s="16" t="s">
        <v>113</v>
      </c>
      <c r="C22" s="17" t="s">
        <v>114</v>
      </c>
      <c r="D22" s="16" t="s">
        <v>53</v>
      </c>
      <c r="E22" s="18" t="s">
        <v>8</v>
      </c>
      <c r="F22" s="16" t="n">
        <f aca="false">IF(E22="Done",1,IF(E22="Partial",0.5,0))</f>
        <v>1</v>
      </c>
      <c r="G22" s="17" t="s">
        <v>115</v>
      </c>
    </row>
    <row r="23" customFormat="false" ht="15" hidden="false" customHeight="false" outlineLevel="0" collapsed="false">
      <c r="A23" s="15" t="s">
        <v>19</v>
      </c>
      <c r="B23" s="16" t="s">
        <v>116</v>
      </c>
      <c r="C23" s="17" t="s">
        <v>117</v>
      </c>
      <c r="D23" s="16" t="s">
        <v>53</v>
      </c>
      <c r="E23" s="18" t="s">
        <v>8</v>
      </c>
      <c r="F23" s="16" t="n">
        <f aca="false">IF(E23="Done",1,IF(E23="Partial",0.5,0))</f>
        <v>1</v>
      </c>
      <c r="G23" s="17" t="s">
        <v>118</v>
      </c>
    </row>
    <row r="24" customFormat="false" ht="15" hidden="false" customHeight="false" outlineLevel="0" collapsed="false">
      <c r="A24" s="15" t="s">
        <v>19</v>
      </c>
      <c r="B24" s="16" t="s">
        <v>119</v>
      </c>
      <c r="C24" s="17" t="s">
        <v>120</v>
      </c>
      <c r="D24" s="16" t="s">
        <v>53</v>
      </c>
      <c r="E24" s="18" t="s">
        <v>8</v>
      </c>
      <c r="F24" s="16" t="n">
        <f aca="false">IF(E24="Done",1,IF(E24="Partial",0.5,0))</f>
        <v>1</v>
      </c>
      <c r="G24" s="17" t="s">
        <v>121</v>
      </c>
    </row>
    <row r="25" customFormat="false" ht="15" hidden="false" customHeight="false" outlineLevel="0" collapsed="false">
      <c r="A25" s="15" t="s">
        <v>19</v>
      </c>
      <c r="B25" s="16" t="s">
        <v>122</v>
      </c>
      <c r="C25" s="17" t="s">
        <v>123</v>
      </c>
      <c r="D25" s="16" t="s">
        <v>53</v>
      </c>
      <c r="E25" s="18" t="s">
        <v>8</v>
      </c>
      <c r="F25" s="16" t="n">
        <f aca="false">IF(E25="Done",1,IF(E25="Partial",0.5,0))</f>
        <v>1</v>
      </c>
      <c r="G25" s="17" t="s">
        <v>124</v>
      </c>
    </row>
    <row r="26" customFormat="false" ht="15" hidden="false" customHeight="false" outlineLevel="0" collapsed="false">
      <c r="A26" s="15" t="s">
        <v>19</v>
      </c>
      <c r="B26" s="16" t="s">
        <v>125</v>
      </c>
      <c r="C26" s="17" t="s">
        <v>126</v>
      </c>
      <c r="D26" s="16" t="s">
        <v>53</v>
      </c>
      <c r="E26" s="18" t="s">
        <v>8</v>
      </c>
      <c r="F26" s="16" t="n">
        <f aca="false">IF(E26="Done",1,IF(E26="Partial",0.5,0))</f>
        <v>1</v>
      </c>
      <c r="G26" s="17" t="s">
        <v>127</v>
      </c>
    </row>
    <row r="27" customFormat="false" ht="15" hidden="false" customHeight="false" outlineLevel="0" collapsed="false">
      <c r="A27" s="15" t="s">
        <v>19</v>
      </c>
      <c r="B27" s="16" t="s">
        <v>128</v>
      </c>
      <c r="C27" s="17" t="s">
        <v>129</v>
      </c>
      <c r="D27" s="16" t="s">
        <v>53</v>
      </c>
      <c r="E27" s="18" t="s">
        <v>8</v>
      </c>
      <c r="F27" s="16" t="n">
        <f aca="false">IF(E27="Done",1,IF(E27="Partial",0.5,0))</f>
        <v>1</v>
      </c>
      <c r="G27" s="17" t="s">
        <v>130</v>
      </c>
    </row>
    <row r="28" customFormat="false" ht="15" hidden="false" customHeight="false" outlineLevel="0" collapsed="false">
      <c r="A28" s="15" t="s">
        <v>21</v>
      </c>
      <c r="B28" s="16" t="s">
        <v>131</v>
      </c>
      <c r="C28" s="17" t="s">
        <v>132</v>
      </c>
      <c r="D28" s="16" t="s">
        <v>53</v>
      </c>
      <c r="E28" s="18" t="s">
        <v>8</v>
      </c>
      <c r="F28" s="16" t="n">
        <f aca="false">IF(E28="Done",1,IF(E28="Partial",0.5,0))</f>
        <v>1</v>
      </c>
      <c r="G28" s="17" t="s">
        <v>133</v>
      </c>
    </row>
    <row r="29" customFormat="false" ht="15" hidden="false" customHeight="false" outlineLevel="0" collapsed="false">
      <c r="A29" s="15" t="s">
        <v>21</v>
      </c>
      <c r="B29" s="16" t="s">
        <v>134</v>
      </c>
      <c r="C29" s="17" t="s">
        <v>135</v>
      </c>
      <c r="D29" s="16" t="s">
        <v>53</v>
      </c>
      <c r="E29" s="18" t="s">
        <v>8</v>
      </c>
      <c r="F29" s="16" t="n">
        <f aca="false">IF(E29="Done",1,IF(E29="Partial",0.5,0))</f>
        <v>1</v>
      </c>
      <c r="G29" s="17" t="s">
        <v>136</v>
      </c>
    </row>
    <row r="30" customFormat="false" ht="15" hidden="false" customHeight="false" outlineLevel="0" collapsed="false">
      <c r="A30" s="15" t="s">
        <v>21</v>
      </c>
      <c r="B30" s="16" t="s">
        <v>137</v>
      </c>
      <c r="C30" s="17" t="s">
        <v>138</v>
      </c>
      <c r="D30" s="16" t="s">
        <v>53</v>
      </c>
      <c r="E30" s="18" t="s">
        <v>8</v>
      </c>
      <c r="F30" s="16" t="n">
        <f aca="false">IF(E30="Done",1,IF(E30="Partial",0.5,0))</f>
        <v>1</v>
      </c>
      <c r="G30" s="17" t="s">
        <v>139</v>
      </c>
    </row>
    <row r="31" customFormat="false" ht="15" hidden="false" customHeight="false" outlineLevel="0" collapsed="false">
      <c r="A31" s="15" t="s">
        <v>21</v>
      </c>
      <c r="B31" s="16" t="s">
        <v>140</v>
      </c>
      <c r="C31" s="17" t="s">
        <v>141</v>
      </c>
      <c r="D31" s="16" t="s">
        <v>53</v>
      </c>
      <c r="E31" s="18" t="s">
        <v>8</v>
      </c>
      <c r="F31" s="16" t="n">
        <f aca="false">IF(E31="Done",1,IF(E31="Partial",0.5,0))</f>
        <v>1</v>
      </c>
      <c r="G31" s="17" t="s">
        <v>142</v>
      </c>
    </row>
    <row r="32" customFormat="false" ht="15" hidden="false" customHeight="false" outlineLevel="0" collapsed="false">
      <c r="A32" s="15" t="s">
        <v>21</v>
      </c>
      <c r="B32" s="16" t="s">
        <v>143</v>
      </c>
      <c r="C32" s="17" t="s">
        <v>144</v>
      </c>
      <c r="D32" s="16" t="s">
        <v>53</v>
      </c>
      <c r="E32" s="18" t="s">
        <v>8</v>
      </c>
      <c r="F32" s="16" t="n">
        <f aca="false">IF(E32="Done",1,IF(E32="Partial",0.5,0))</f>
        <v>1</v>
      </c>
      <c r="G32" s="17" t="s">
        <v>145</v>
      </c>
    </row>
    <row r="33" customFormat="false" ht="15" hidden="false" customHeight="false" outlineLevel="0" collapsed="false">
      <c r="A33" s="15" t="s">
        <v>21</v>
      </c>
      <c r="B33" s="16" t="s">
        <v>146</v>
      </c>
      <c r="C33" s="17" t="s">
        <v>147</v>
      </c>
      <c r="D33" s="16" t="s">
        <v>53</v>
      </c>
      <c r="E33" s="18" t="s">
        <v>8</v>
      </c>
      <c r="F33" s="16" t="n">
        <f aca="false">IF(E33="Done",1,IF(E33="Partial",0.5,0))</f>
        <v>1</v>
      </c>
      <c r="G33" s="17" t="s">
        <v>148</v>
      </c>
    </row>
    <row r="34" customFormat="false" ht="15" hidden="false" customHeight="false" outlineLevel="0" collapsed="false">
      <c r="A34" s="15" t="s">
        <v>23</v>
      </c>
      <c r="B34" s="16" t="s">
        <v>149</v>
      </c>
      <c r="C34" s="17" t="s">
        <v>150</v>
      </c>
      <c r="D34" s="16" t="s">
        <v>53</v>
      </c>
      <c r="E34" s="18" t="s">
        <v>8</v>
      </c>
      <c r="F34" s="16" t="n">
        <f aca="false">IF(E34="Done",1,IF(E34="Partial",0.5,0))</f>
        <v>1</v>
      </c>
      <c r="G34" s="17" t="s">
        <v>151</v>
      </c>
    </row>
    <row r="35" customFormat="false" ht="15" hidden="false" customHeight="false" outlineLevel="0" collapsed="false">
      <c r="A35" s="15" t="s">
        <v>23</v>
      </c>
      <c r="B35" s="16" t="s">
        <v>152</v>
      </c>
      <c r="C35" s="17" t="s">
        <v>153</v>
      </c>
      <c r="D35" s="16" t="s">
        <v>53</v>
      </c>
      <c r="E35" s="18" t="s">
        <v>9</v>
      </c>
      <c r="F35" s="16" t="n">
        <f aca="false">IF(E35="Done",1,IF(E35="Partial",0.5,0))</f>
        <v>0.5</v>
      </c>
      <c r="G35" s="17" t="s">
        <v>154</v>
      </c>
    </row>
    <row r="36" customFormat="false" ht="15" hidden="false" customHeight="false" outlineLevel="0" collapsed="false">
      <c r="A36" s="15" t="s">
        <v>23</v>
      </c>
      <c r="B36" s="16" t="s">
        <v>155</v>
      </c>
      <c r="C36" s="17" t="s">
        <v>156</v>
      </c>
      <c r="D36" s="16" t="s">
        <v>53</v>
      </c>
      <c r="E36" s="18" t="s">
        <v>9</v>
      </c>
      <c r="F36" s="16" t="n">
        <f aca="false">IF(E36="Done",1,IF(E36="Partial",0.5,0))</f>
        <v>0.5</v>
      </c>
      <c r="G36" s="17" t="s">
        <v>157</v>
      </c>
    </row>
    <row r="37" customFormat="false" ht="15" hidden="false" customHeight="false" outlineLevel="0" collapsed="false">
      <c r="A37" s="15" t="s">
        <v>23</v>
      </c>
      <c r="B37" s="16" t="s">
        <v>158</v>
      </c>
      <c r="C37" s="17" t="s">
        <v>159</v>
      </c>
      <c r="D37" s="16" t="s">
        <v>53</v>
      </c>
      <c r="E37" s="18" t="s">
        <v>8</v>
      </c>
      <c r="F37" s="16" t="n">
        <f aca="false">IF(E37="Done",1,IF(E37="Partial",0.5,0))</f>
        <v>1</v>
      </c>
      <c r="G37" s="17" t="s">
        <v>160</v>
      </c>
    </row>
    <row r="38" customFormat="false" ht="15" hidden="false" customHeight="false" outlineLevel="0" collapsed="false">
      <c r="A38" s="15" t="s">
        <v>23</v>
      </c>
      <c r="B38" s="16" t="s">
        <v>161</v>
      </c>
      <c r="C38" s="17" t="s">
        <v>162</v>
      </c>
      <c r="D38" s="16" t="s">
        <v>53</v>
      </c>
      <c r="E38" s="18" t="s">
        <v>10</v>
      </c>
      <c r="F38" s="16" t="n">
        <f aca="false">IF(E38="Done",1,IF(E38="Partial",0.5,0))</f>
        <v>0</v>
      </c>
      <c r="G38" s="17" t="s">
        <v>163</v>
      </c>
    </row>
    <row r="39" customFormat="false" ht="15" hidden="false" customHeight="false" outlineLevel="0" collapsed="false">
      <c r="A39" s="15" t="s">
        <v>25</v>
      </c>
      <c r="B39" s="16" t="s">
        <v>164</v>
      </c>
      <c r="C39" s="17" t="s">
        <v>165</v>
      </c>
      <c r="D39" s="16" t="s">
        <v>53</v>
      </c>
      <c r="E39" s="18" t="s">
        <v>10</v>
      </c>
      <c r="F39" s="16" t="n">
        <f aca="false">IF(E39="Done",1,IF(E39="Partial",0.5,0))</f>
        <v>0</v>
      </c>
      <c r="G39" s="17" t="s">
        <v>166</v>
      </c>
    </row>
    <row r="40" customFormat="false" ht="15" hidden="false" customHeight="false" outlineLevel="0" collapsed="false">
      <c r="A40" s="15" t="s">
        <v>25</v>
      </c>
      <c r="B40" s="16" t="s">
        <v>167</v>
      </c>
      <c r="C40" s="17" t="s">
        <v>168</v>
      </c>
      <c r="D40" s="16" t="s">
        <v>53</v>
      </c>
      <c r="E40" s="18" t="s">
        <v>8</v>
      </c>
      <c r="F40" s="16" t="n">
        <f aca="false">IF(E40="Done",1,IF(E40="Partial",0.5,0))</f>
        <v>1</v>
      </c>
      <c r="G40" s="17" t="s">
        <v>169</v>
      </c>
    </row>
    <row r="41" customFormat="false" ht="15" hidden="false" customHeight="false" outlineLevel="0" collapsed="false">
      <c r="A41" s="15" t="s">
        <v>25</v>
      </c>
      <c r="B41" s="16" t="s">
        <v>170</v>
      </c>
      <c r="C41" s="17" t="s">
        <v>171</v>
      </c>
      <c r="D41" s="16" t="s">
        <v>53</v>
      </c>
      <c r="E41" s="18" t="s">
        <v>9</v>
      </c>
      <c r="F41" s="16" t="n">
        <f aca="false">IF(E41="Done",1,IF(E41="Partial",0.5,0))</f>
        <v>0.5</v>
      </c>
      <c r="G41" s="17" t="s">
        <v>172</v>
      </c>
    </row>
    <row r="42" customFormat="false" ht="15" hidden="false" customHeight="false" outlineLevel="0" collapsed="false">
      <c r="A42" s="15" t="s">
        <v>25</v>
      </c>
      <c r="B42" s="16" t="s">
        <v>173</v>
      </c>
      <c r="C42" s="17" t="s">
        <v>174</v>
      </c>
      <c r="D42" s="16" t="s">
        <v>53</v>
      </c>
      <c r="E42" s="18" t="s">
        <v>9</v>
      </c>
      <c r="F42" s="16" t="n">
        <f aca="false">IF(E42="Done",1,IF(E42="Partial",0.5,0))</f>
        <v>0.5</v>
      </c>
      <c r="G42" s="17" t="s">
        <v>175</v>
      </c>
    </row>
    <row r="43" customFormat="false" ht="15" hidden="false" customHeight="false" outlineLevel="0" collapsed="false">
      <c r="A43" s="15" t="s">
        <v>25</v>
      </c>
      <c r="B43" s="16" t="s">
        <v>176</v>
      </c>
      <c r="C43" s="17" t="s">
        <v>177</v>
      </c>
      <c r="D43" s="16" t="s">
        <v>53</v>
      </c>
      <c r="E43" s="18" t="s">
        <v>9</v>
      </c>
      <c r="F43" s="16" t="n">
        <f aca="false">IF(E43="Done",1,IF(E43="Partial",0.5,0))</f>
        <v>0.5</v>
      </c>
      <c r="G43" s="17" t="s">
        <v>178</v>
      </c>
    </row>
    <row r="44" customFormat="false" ht="15" hidden="false" customHeight="false" outlineLevel="0" collapsed="false">
      <c r="A44" s="15" t="s">
        <v>27</v>
      </c>
      <c r="B44" s="16" t="s">
        <v>179</v>
      </c>
      <c r="C44" s="17" t="s">
        <v>180</v>
      </c>
      <c r="D44" s="16" t="s">
        <v>53</v>
      </c>
      <c r="E44" s="18" t="s">
        <v>8</v>
      </c>
      <c r="F44" s="16" t="n">
        <f aca="false">IF(E44="Done",1,IF(E44="Partial",0.5,0))</f>
        <v>1</v>
      </c>
      <c r="G44" s="17" t="s">
        <v>181</v>
      </c>
    </row>
    <row r="45" customFormat="false" ht="15" hidden="false" customHeight="false" outlineLevel="0" collapsed="false">
      <c r="A45" s="15" t="s">
        <v>27</v>
      </c>
      <c r="B45" s="16" t="s">
        <v>182</v>
      </c>
      <c r="C45" s="17" t="s">
        <v>183</v>
      </c>
      <c r="D45" s="16" t="s">
        <v>53</v>
      </c>
      <c r="E45" s="18" t="s">
        <v>8</v>
      </c>
      <c r="F45" s="16" t="n">
        <f aca="false">IF(E45="Done",1,IF(E45="Partial",0.5,0))</f>
        <v>1</v>
      </c>
      <c r="G45" s="17" t="s">
        <v>184</v>
      </c>
    </row>
    <row r="46" customFormat="false" ht="15" hidden="false" customHeight="false" outlineLevel="0" collapsed="false">
      <c r="A46" s="15" t="s">
        <v>27</v>
      </c>
      <c r="B46" s="16" t="s">
        <v>185</v>
      </c>
      <c r="C46" s="17" t="s">
        <v>186</v>
      </c>
      <c r="D46" s="16" t="s">
        <v>53</v>
      </c>
      <c r="E46" s="18" t="s">
        <v>8</v>
      </c>
      <c r="F46" s="16" t="n">
        <f aca="false">IF(E46="Done",1,IF(E46="Partial",0.5,0))</f>
        <v>1</v>
      </c>
      <c r="G46" s="17" t="s">
        <v>187</v>
      </c>
    </row>
    <row r="47" customFormat="false" ht="15" hidden="false" customHeight="false" outlineLevel="0" collapsed="false">
      <c r="A47" s="15" t="s">
        <v>27</v>
      </c>
      <c r="B47" s="16" t="s">
        <v>188</v>
      </c>
      <c r="C47" s="17" t="s">
        <v>189</v>
      </c>
      <c r="D47" s="16" t="s">
        <v>53</v>
      </c>
      <c r="E47" s="18" t="s">
        <v>8</v>
      </c>
      <c r="F47" s="16" t="n">
        <f aca="false">IF(E47="Done",1,IF(E47="Partial",0.5,0))</f>
        <v>1</v>
      </c>
      <c r="G47" s="17" t="s">
        <v>190</v>
      </c>
    </row>
    <row r="48" customFormat="false" ht="15" hidden="false" customHeight="false" outlineLevel="0" collapsed="false">
      <c r="A48" s="15" t="s">
        <v>27</v>
      </c>
      <c r="B48" s="16" t="s">
        <v>191</v>
      </c>
      <c r="C48" s="17" t="s">
        <v>192</v>
      </c>
      <c r="D48" s="16" t="s">
        <v>69</v>
      </c>
      <c r="E48" s="18" t="s">
        <v>10</v>
      </c>
      <c r="F48" s="16" t="n">
        <f aca="false">IF(E48="Done",1,IF(E48="Partial",0.5,0))</f>
        <v>0</v>
      </c>
      <c r="G48" s="17" t="s">
        <v>193</v>
      </c>
    </row>
    <row r="49" customFormat="false" ht="15" hidden="false" customHeight="false" outlineLevel="0" collapsed="false">
      <c r="A49" s="15" t="s">
        <v>29</v>
      </c>
      <c r="B49" s="16" t="s">
        <v>194</v>
      </c>
      <c r="C49" s="17" t="s">
        <v>195</v>
      </c>
      <c r="D49" s="16" t="s">
        <v>53</v>
      </c>
      <c r="E49" s="18" t="s">
        <v>8</v>
      </c>
      <c r="F49" s="16" t="n">
        <f aca="false">IF(E49="Done",1,IF(E49="Partial",0.5,0))</f>
        <v>1</v>
      </c>
      <c r="G49" s="17" t="s">
        <v>196</v>
      </c>
    </row>
    <row r="50" customFormat="false" ht="15" hidden="false" customHeight="false" outlineLevel="0" collapsed="false">
      <c r="A50" s="15" t="s">
        <v>29</v>
      </c>
      <c r="B50" s="16" t="s">
        <v>197</v>
      </c>
      <c r="C50" s="17" t="s">
        <v>198</v>
      </c>
      <c r="D50" s="16" t="s">
        <v>53</v>
      </c>
      <c r="E50" s="18" t="s">
        <v>10</v>
      </c>
      <c r="F50" s="16" t="n">
        <f aca="false">IF(E50="Done",1,IF(E50="Partial",0.5,0))</f>
        <v>0</v>
      </c>
      <c r="G50" s="17" t="s">
        <v>199</v>
      </c>
    </row>
    <row r="51" customFormat="false" ht="15" hidden="false" customHeight="false" outlineLevel="0" collapsed="false">
      <c r="A51" s="15" t="s">
        <v>29</v>
      </c>
      <c r="B51" s="16" t="s">
        <v>200</v>
      </c>
      <c r="C51" s="17" t="s">
        <v>201</v>
      </c>
      <c r="D51" s="16" t="s">
        <v>53</v>
      </c>
      <c r="E51" s="18" t="s">
        <v>8</v>
      </c>
      <c r="F51" s="16" t="n">
        <f aca="false">IF(E51="Done",1,IF(E51="Partial",0.5,0))</f>
        <v>1</v>
      </c>
      <c r="G51" s="17" t="s">
        <v>202</v>
      </c>
    </row>
    <row r="52" customFormat="false" ht="15" hidden="false" customHeight="false" outlineLevel="0" collapsed="false">
      <c r="A52" s="15" t="s">
        <v>29</v>
      </c>
      <c r="B52" s="16" t="s">
        <v>203</v>
      </c>
      <c r="C52" s="17" t="s">
        <v>204</v>
      </c>
      <c r="D52" s="16" t="s">
        <v>53</v>
      </c>
      <c r="E52" s="18" t="s">
        <v>9</v>
      </c>
      <c r="F52" s="16" t="n">
        <f aca="false">IF(E52="Done",1,IF(E52="Partial",0.5,0))</f>
        <v>0.5</v>
      </c>
      <c r="G52" s="17" t="s">
        <v>205</v>
      </c>
    </row>
    <row r="53" customFormat="false" ht="15" hidden="false" customHeight="false" outlineLevel="0" collapsed="false">
      <c r="A53" s="15" t="s">
        <v>29</v>
      </c>
      <c r="B53" s="16" t="s">
        <v>206</v>
      </c>
      <c r="C53" s="17" t="s">
        <v>207</v>
      </c>
      <c r="D53" s="16" t="s">
        <v>53</v>
      </c>
      <c r="E53" s="18" t="s">
        <v>10</v>
      </c>
      <c r="F53" s="16" t="n">
        <f aca="false">IF(E53="Done",1,IF(E53="Partial",0.5,0))</f>
        <v>0</v>
      </c>
      <c r="G53" s="17" t="s">
        <v>208</v>
      </c>
    </row>
    <row r="54" customFormat="false" ht="15" hidden="false" customHeight="false" outlineLevel="0" collapsed="false">
      <c r="A54" s="15" t="s">
        <v>29</v>
      </c>
      <c r="B54" s="16" t="s">
        <v>209</v>
      </c>
      <c r="C54" s="17" t="s">
        <v>210</v>
      </c>
      <c r="D54" s="16" t="s">
        <v>69</v>
      </c>
      <c r="E54" s="18" t="s">
        <v>10</v>
      </c>
      <c r="F54" s="16" t="n">
        <f aca="false">IF(E54="Done",1,IF(E54="Partial",0.5,0))</f>
        <v>0</v>
      </c>
      <c r="G54" s="17" t="s">
        <v>208</v>
      </c>
    </row>
    <row r="55" customFormat="false" ht="15" hidden="false" customHeight="false" outlineLevel="0" collapsed="false">
      <c r="A55" s="15" t="s">
        <v>29</v>
      </c>
      <c r="B55" s="16" t="s">
        <v>211</v>
      </c>
      <c r="C55" s="17" t="s">
        <v>212</v>
      </c>
      <c r="D55" s="16" t="s">
        <v>53</v>
      </c>
      <c r="E55" s="18" t="s">
        <v>9</v>
      </c>
      <c r="F55" s="16" t="n">
        <f aca="false">IF(E55="Done",1,IF(E55="Partial",0.5,0))</f>
        <v>0.5</v>
      </c>
      <c r="G55" s="17" t="s">
        <v>213</v>
      </c>
    </row>
    <row r="56" customFormat="false" ht="15" hidden="false" customHeight="false" outlineLevel="0" collapsed="false">
      <c r="A56" s="15" t="s">
        <v>29</v>
      </c>
      <c r="B56" s="16" t="s">
        <v>214</v>
      </c>
      <c r="C56" s="17" t="s">
        <v>215</v>
      </c>
      <c r="D56" s="16" t="s">
        <v>53</v>
      </c>
      <c r="E56" s="18" t="s">
        <v>10</v>
      </c>
      <c r="F56" s="16" t="n">
        <f aca="false">IF(E56="Done",1,IF(E56="Partial",0.5,0))</f>
        <v>0</v>
      </c>
      <c r="G56" s="17" t="s">
        <v>216</v>
      </c>
    </row>
    <row r="57" customFormat="false" ht="15" hidden="false" customHeight="false" outlineLevel="0" collapsed="false">
      <c r="A57" s="15" t="s">
        <v>29</v>
      </c>
      <c r="B57" s="16" t="s">
        <v>217</v>
      </c>
      <c r="C57" s="17" t="s">
        <v>218</v>
      </c>
      <c r="D57" s="16" t="s">
        <v>53</v>
      </c>
      <c r="E57" s="18" t="s">
        <v>10</v>
      </c>
      <c r="F57" s="16" t="n">
        <f aca="false">IF(E57="Done",1,IF(E57="Partial",0.5,0))</f>
        <v>0</v>
      </c>
      <c r="G57" s="17" t="s">
        <v>219</v>
      </c>
    </row>
    <row r="58" customFormat="false" ht="15" hidden="false" customHeight="false" outlineLevel="0" collapsed="false">
      <c r="A58" s="15" t="s">
        <v>31</v>
      </c>
      <c r="B58" s="16" t="s">
        <v>220</v>
      </c>
      <c r="C58" s="17" t="s">
        <v>221</v>
      </c>
      <c r="D58" s="16" t="s">
        <v>53</v>
      </c>
      <c r="E58" s="18" t="s">
        <v>8</v>
      </c>
      <c r="F58" s="16" t="n">
        <f aca="false">IF(E58="Done",1,IF(E58="Partial",0.5,0))</f>
        <v>1</v>
      </c>
      <c r="G58" s="17" t="s">
        <v>222</v>
      </c>
    </row>
    <row r="59" customFormat="false" ht="15" hidden="false" customHeight="false" outlineLevel="0" collapsed="false">
      <c r="A59" s="15" t="s">
        <v>31</v>
      </c>
      <c r="B59" s="16" t="s">
        <v>223</v>
      </c>
      <c r="C59" s="17" t="s">
        <v>224</v>
      </c>
      <c r="D59" s="16" t="s">
        <v>53</v>
      </c>
      <c r="E59" s="18" t="s">
        <v>8</v>
      </c>
      <c r="F59" s="16" t="n">
        <f aca="false">IF(E59="Done",1,IF(E59="Partial",0.5,0))</f>
        <v>1</v>
      </c>
      <c r="G59" s="17" t="s">
        <v>225</v>
      </c>
    </row>
    <row r="60" customFormat="false" ht="15" hidden="false" customHeight="false" outlineLevel="0" collapsed="false">
      <c r="A60" s="15" t="s">
        <v>31</v>
      </c>
      <c r="B60" s="16" t="s">
        <v>226</v>
      </c>
      <c r="C60" s="17" t="s">
        <v>227</v>
      </c>
      <c r="D60" s="16" t="s">
        <v>53</v>
      </c>
      <c r="E60" s="18" t="s">
        <v>8</v>
      </c>
      <c r="F60" s="16" t="n">
        <f aca="false">IF(E60="Done",1,IF(E60="Partial",0.5,0))</f>
        <v>1</v>
      </c>
      <c r="G60" s="17" t="s">
        <v>228</v>
      </c>
    </row>
    <row r="61" customFormat="false" ht="15" hidden="false" customHeight="false" outlineLevel="0" collapsed="false">
      <c r="A61" s="15" t="s">
        <v>31</v>
      </c>
      <c r="B61" s="16" t="s">
        <v>229</v>
      </c>
      <c r="C61" s="17" t="s">
        <v>230</v>
      </c>
      <c r="D61" s="16" t="s">
        <v>53</v>
      </c>
      <c r="E61" s="18" t="s">
        <v>8</v>
      </c>
      <c r="F61" s="16" t="n">
        <f aca="false">IF(E61="Done",1,IF(E61="Partial",0.5,0))</f>
        <v>1</v>
      </c>
      <c r="G61" s="17" t="s">
        <v>231</v>
      </c>
    </row>
    <row r="62" customFormat="false" ht="15" hidden="false" customHeight="false" outlineLevel="0" collapsed="false">
      <c r="A62" s="15" t="s">
        <v>31</v>
      </c>
      <c r="B62" s="16" t="s">
        <v>232</v>
      </c>
      <c r="C62" s="17" t="s">
        <v>233</v>
      </c>
      <c r="D62" s="16" t="s">
        <v>69</v>
      </c>
      <c r="E62" s="18" t="s">
        <v>8</v>
      </c>
      <c r="F62" s="16" t="n">
        <f aca="false">IF(E62="Done",1,IF(E62="Partial",0.5,0))</f>
        <v>1</v>
      </c>
      <c r="G62" s="17" t="s">
        <v>234</v>
      </c>
    </row>
    <row r="63" customFormat="false" ht="15" hidden="false" customHeight="false" outlineLevel="0" collapsed="false">
      <c r="A63" s="15" t="s">
        <v>33</v>
      </c>
      <c r="B63" s="16" t="s">
        <v>235</v>
      </c>
      <c r="C63" s="17" t="s">
        <v>236</v>
      </c>
      <c r="D63" s="16" t="s">
        <v>53</v>
      </c>
      <c r="E63" s="18" t="s">
        <v>8</v>
      </c>
      <c r="F63" s="16" t="n">
        <f aca="false">IF(E63="Done",1,IF(E63="Partial",0.5,0))</f>
        <v>1</v>
      </c>
      <c r="G63" s="17" t="s">
        <v>237</v>
      </c>
    </row>
    <row r="64" customFormat="false" ht="15" hidden="false" customHeight="false" outlineLevel="0" collapsed="false">
      <c r="A64" s="15" t="s">
        <v>33</v>
      </c>
      <c r="B64" s="16" t="s">
        <v>238</v>
      </c>
      <c r="C64" s="17" t="s">
        <v>239</v>
      </c>
      <c r="D64" s="16" t="s">
        <v>53</v>
      </c>
      <c r="E64" s="18" t="s">
        <v>8</v>
      </c>
      <c r="F64" s="16" t="n">
        <f aca="false">IF(E64="Done",1,IF(E64="Partial",0.5,0))</f>
        <v>1</v>
      </c>
      <c r="G64" s="17" t="s">
        <v>240</v>
      </c>
    </row>
    <row r="65" customFormat="false" ht="15" hidden="false" customHeight="false" outlineLevel="0" collapsed="false">
      <c r="A65" s="15" t="s">
        <v>33</v>
      </c>
      <c r="B65" s="16" t="s">
        <v>241</v>
      </c>
      <c r="C65" s="17" t="s">
        <v>242</v>
      </c>
      <c r="D65" s="16" t="s">
        <v>69</v>
      </c>
      <c r="E65" s="18" t="s">
        <v>9</v>
      </c>
      <c r="F65" s="16" t="n">
        <f aca="false">IF(E65="Done",1,IF(E65="Partial",0.5,0))</f>
        <v>0.5</v>
      </c>
      <c r="G65" s="17" t="s">
        <v>243</v>
      </c>
    </row>
    <row r="66" customFormat="false" ht="15" hidden="false" customHeight="false" outlineLevel="0" collapsed="false">
      <c r="A66" s="15" t="s">
        <v>35</v>
      </c>
      <c r="B66" s="16" t="s">
        <v>244</v>
      </c>
      <c r="C66" s="17" t="s">
        <v>245</v>
      </c>
      <c r="D66" s="16" t="s">
        <v>53</v>
      </c>
      <c r="E66" s="18" t="s">
        <v>8</v>
      </c>
      <c r="F66" s="16" t="n">
        <f aca="false">IF(E66="Done",1,IF(E66="Partial",0.5,0))</f>
        <v>1</v>
      </c>
      <c r="G66" s="17" t="s">
        <v>246</v>
      </c>
    </row>
    <row r="67" customFormat="false" ht="15" hidden="false" customHeight="false" outlineLevel="0" collapsed="false">
      <c r="A67" s="15" t="s">
        <v>35</v>
      </c>
      <c r="B67" s="16" t="s">
        <v>247</v>
      </c>
      <c r="C67" s="17" t="s">
        <v>248</v>
      </c>
      <c r="D67" s="16" t="s">
        <v>53</v>
      </c>
      <c r="E67" s="18" t="s">
        <v>8</v>
      </c>
      <c r="F67" s="16" t="n">
        <f aca="false">IF(E67="Done",1,IF(E67="Partial",0.5,0))</f>
        <v>1</v>
      </c>
      <c r="G67" s="17" t="s">
        <v>249</v>
      </c>
    </row>
    <row r="68" customFormat="false" ht="15" hidden="false" customHeight="false" outlineLevel="0" collapsed="false">
      <c r="A68" s="15" t="s">
        <v>35</v>
      </c>
      <c r="B68" s="16" t="s">
        <v>250</v>
      </c>
      <c r="C68" s="17" t="s">
        <v>251</v>
      </c>
      <c r="D68" s="16" t="s">
        <v>53</v>
      </c>
      <c r="E68" s="18" t="s">
        <v>8</v>
      </c>
      <c r="F68" s="16" t="n">
        <f aca="false">IF(E68="Done",1,IF(E68="Partial",0.5,0))</f>
        <v>1</v>
      </c>
      <c r="G68" s="17" t="s">
        <v>252</v>
      </c>
    </row>
    <row r="69" customFormat="false" ht="15" hidden="false" customHeight="false" outlineLevel="0" collapsed="false">
      <c r="A69" s="15" t="s">
        <v>35</v>
      </c>
      <c r="B69" s="16" t="s">
        <v>253</v>
      </c>
      <c r="C69" s="17" t="s">
        <v>254</v>
      </c>
      <c r="D69" s="16" t="s">
        <v>53</v>
      </c>
      <c r="E69" s="18" t="s">
        <v>8</v>
      </c>
      <c r="F69" s="16" t="n">
        <f aca="false">IF(E69="Done",1,IF(E69="Partial",0.5,0))</f>
        <v>1</v>
      </c>
      <c r="G69" s="17" t="s">
        <v>255</v>
      </c>
    </row>
    <row r="70" customFormat="false" ht="15" hidden="false" customHeight="false" outlineLevel="0" collapsed="false">
      <c r="A70" s="15" t="s">
        <v>35</v>
      </c>
      <c r="B70" s="16" t="s">
        <v>256</v>
      </c>
      <c r="C70" s="17" t="s">
        <v>257</v>
      </c>
      <c r="D70" s="16" t="s">
        <v>53</v>
      </c>
      <c r="E70" s="18" t="s">
        <v>8</v>
      </c>
      <c r="F70" s="16" t="n">
        <f aca="false">IF(E70="Done",1,IF(E70="Partial",0.5,0))</f>
        <v>1</v>
      </c>
      <c r="G70" s="17" t="s">
        <v>258</v>
      </c>
    </row>
    <row r="71" customFormat="false" ht="15" hidden="false" customHeight="false" outlineLevel="0" collapsed="false">
      <c r="A71" s="15" t="s">
        <v>35</v>
      </c>
      <c r="B71" s="16" t="s">
        <v>259</v>
      </c>
      <c r="C71" s="17" t="s">
        <v>260</v>
      </c>
      <c r="D71" s="16" t="s">
        <v>53</v>
      </c>
      <c r="E71" s="18" t="s">
        <v>8</v>
      </c>
      <c r="F71" s="16" t="n">
        <f aca="false">IF(E71="Done",1,IF(E71="Partial",0.5,0))</f>
        <v>1</v>
      </c>
      <c r="G71" s="17" t="s">
        <v>261</v>
      </c>
    </row>
    <row r="72" customFormat="false" ht="15" hidden="false" customHeight="false" outlineLevel="0" collapsed="false">
      <c r="A72" s="15" t="s">
        <v>35</v>
      </c>
      <c r="B72" s="16" t="s">
        <v>262</v>
      </c>
      <c r="C72" s="17" t="s">
        <v>263</v>
      </c>
      <c r="D72" s="16" t="s">
        <v>53</v>
      </c>
      <c r="E72" s="18" t="s">
        <v>8</v>
      </c>
      <c r="F72" s="16" t="n">
        <f aca="false">IF(E72="Done",1,IF(E72="Partial",0.5,0))</f>
        <v>1</v>
      </c>
      <c r="G72" s="17" t="s">
        <v>264</v>
      </c>
    </row>
  </sheetData>
  <autoFilter ref="A1:G72"/>
  <conditionalFormatting sqref="E2:E72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"Partial"</formula>
    </cfRule>
    <cfRule type="cellIs" priority="4" operator="equal" aboveAverage="0" equalAverage="0" bottom="0" percent="0" rank="0" text="" dxfId="9">
      <formula>"Missing"</formula>
    </cfRule>
  </conditionalFormatting>
  <dataValidations count="1">
    <dataValidation allowBlank="false" errorStyle="stop" operator="between" showDropDown="false" showErrorMessage="false" showInputMessage="false" sqref="E2:E72" type="list">
      <formula1>"Done,Partial,Missing"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2026-10-20T09:26:04Z</dcterms:created>
  <dc:creator>openpyxl</dc:creator>
  <dc:description/>
  <dc:language>en-US</dc:language>
  <cp:lastModifiedBy/>
  <dcterms:modified xsi:type="dcterms:W3CDTF">2026-10-20T09:26:04Z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